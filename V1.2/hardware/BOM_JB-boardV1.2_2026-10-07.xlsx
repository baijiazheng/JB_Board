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<sst xmlns="http://schemas.openxmlformats.org/spreadsheetml/2006/main" count="252" uniqueCount="136">
  <si>
    <t/>
  </si>
  <si>
    <t xml:space="preserve">Bill of Materials </t>
  </si>
  <si>
    <t>BOM_Board1_主板原理图_2026-10-07</t>
  </si>
  <si>
    <t>Project Title：</t>
  </si>
  <si>
    <t>JB-board V1.2</t>
  </si>
  <si>
    <t>Variant:</t>
  </si>
  <si>
    <t xml:space="preserve"> </t>
  </si>
  <si>
    <t>Report Time：</t>
  </si>
  <si>
    <t>2026年10月7日 14:31:50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</si>
  <si>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</si>
  <si>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</si>
  <si>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</si>
  <si>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</si>
  <si>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</si>
  <si>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</si>
  <si>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</si>
  <si>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</si>
  <si>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</si>
  <si>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</si>
  <si>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</si>
  <si>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</si>
  <si>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22uF</t>
  </si>
  <si>
    <t>C1</t>
  </si>
  <si>
    <t>CASE-A_3216</t>
  </si>
  <si>
    <t>TAJA226K010RNJ</t>
  </si>
  <si>
    <t>Kyocera AVX</t>
  </si>
  <si>
    <t>C11366</t>
  </si>
  <si>
    <t>LCSC</t>
  </si>
  <si>
    <t>10uF</t>
  </si>
  <si>
    <t>C2</t>
  </si>
  <si>
    <t>C0805</t>
  </si>
  <si>
    <t>CGA0805X5R106K250MT</t>
  </si>
  <si>
    <t>HRE(芯声)</t>
  </si>
  <si>
    <t>C6119887</t>
  </si>
  <si>
    <t>470uF</t>
  </si>
  <si>
    <t>C3, C6</t>
  </si>
  <si>
    <t>CAP-TH_BD6.3-P2.50-D0.5-FD</t>
  </si>
  <si>
    <t>GR1C471M0611</t>
  </si>
  <si>
    <t>ROQANG(容强)</t>
  </si>
  <si>
    <t>C2873966</t>
  </si>
  <si>
    <t>100nF</t>
  </si>
  <si>
    <t>C4, C5, C7, C8, C10, C11</t>
  </si>
  <si>
    <t>FCC0805B104K500DT</t>
  </si>
  <si>
    <t>FOJAN(富捷)</t>
  </si>
  <si>
    <t>C5137467</t>
  </si>
  <si>
    <t>HX-PH2.0-4PZZ</t>
  </si>
  <si>
    <t>CN1, CN2, CN3, CN4, CN5</t>
  </si>
  <si>
    <t>CONN-TH_HX-PH2.0-4PZZ</t>
  </si>
  <si>
    <t>hanxia(韩下)</t>
  </si>
  <si>
    <t>C48641619</t>
  </si>
  <si>
    <t>SMBJ5.0A</t>
  </si>
  <si>
    <t>D1</t>
  </si>
  <si>
    <t>SMB_L4.3-W3.6-LS5.3-RD</t>
  </si>
  <si>
    <t>MSKSEMI(美森科)</t>
  </si>
  <si>
    <t>C5331094</t>
  </si>
  <si>
    <t>SMBJ8.5A-E3/52</t>
  </si>
  <si>
    <t>D2</t>
  </si>
  <si>
    <t>SMB_L4.6-W3.6-LS5.3-RD</t>
  </si>
  <si>
    <t>VISHAY(威世)</t>
  </si>
  <si>
    <t>C1976195</t>
  </si>
  <si>
    <t>MBR1045</t>
  </si>
  <si>
    <t>D3, D4</t>
  </si>
  <si>
    <t>TO-220AC_L10.0-W4.5-P5.08-T</t>
  </si>
  <si>
    <t>SMC(桑德斯)</t>
  </si>
  <si>
    <t>C260253</t>
  </si>
  <si>
    <t>PZ254V-11-03P</t>
  </si>
  <si>
    <t>H1</t>
  </si>
  <si>
    <t>HDR-TH_3P-P2.54-V-M_PZ254V-11-03P</t>
  </si>
  <si>
    <t>XFCN(兴飞)</t>
  </si>
  <si>
    <t>C2937625</t>
  </si>
  <si>
    <t>PZ254V-11-02P</t>
  </si>
  <si>
    <t>H2, H3, H4, H5, H6, H7, H8, H9</t>
  </si>
  <si>
    <t>HDR-TH_2P-P2.54-V-M</t>
  </si>
  <si>
    <t>C492401</t>
  </si>
  <si>
    <t>XL-2012SURC</t>
  </si>
  <si>
    <t>LED1, LED2</t>
  </si>
  <si>
    <t>LED0805-RD_RED</t>
  </si>
  <si>
    <t>XINGLIGHT(成兴光)</t>
  </si>
  <si>
    <t>C965812</t>
  </si>
  <si>
    <t>2.54-1*8P母环保</t>
  </si>
  <si>
    <t>P1</t>
  </si>
  <si>
    <t>HDR-TH_8P-P2.54-V-F</t>
  </si>
  <si>
    <t>BOOMELE(博穆精密)</t>
  </si>
  <si>
    <t>C27438</t>
  </si>
  <si>
    <t>4.7kΩ</t>
  </si>
  <si>
    <t>R3, R4</t>
  </si>
  <si>
    <t>R0805</t>
  </si>
  <si>
    <t>0805W8F4701T5E</t>
  </si>
  <si>
    <t>UNI-ROYAL(厚声)</t>
  </si>
  <si>
    <t>C17673</t>
  </si>
  <si>
    <t>2kΩ</t>
  </si>
  <si>
    <t>R5</t>
  </si>
  <si>
    <t>FRC0805J202 TS</t>
  </si>
  <si>
    <t>C2907315</t>
  </si>
  <si>
    <t>1kΩ</t>
  </si>
  <si>
    <t>R7, R8, R9</t>
  </si>
  <si>
    <t>FRC0805J102 TS</t>
  </si>
  <si>
    <t>C2907295</t>
  </si>
  <si>
    <t>M3螺丝</t>
  </si>
  <si>
    <t>SCREW1, SCREW2, SCREW3, SCREW4, SCREW6</t>
  </si>
  <si>
    <t>KF128-5.08-2P-AA</t>
  </si>
  <si>
    <t>U1, U2</t>
  </si>
  <si>
    <t>CONN-TH_P5.08_KF128-5.08-2P</t>
  </si>
  <si>
    <t>KEFA(科发)</t>
  </si>
  <si>
    <t>C474952</t>
  </si>
  <si>
    <t>HC-PM254-8.5H-1x24PZ</t>
  </si>
  <si>
    <t>U3, U4</t>
  </si>
  <si>
    <t>HDR-TH_24P-P2.54-V-F</t>
  </si>
  <si>
    <t>HC(虹成电子)</t>
  </si>
  <si>
    <t>C41376163</t>
  </si>
  <si>
    <t>AMS1117-3.3</t>
  </si>
  <si>
    <t>U5</t>
  </si>
  <si>
    <t>SOT-223-4_L6.5-W3.5-P2.30-LS7.0-BR</t>
  </si>
  <si>
    <t>UMW(友台半导体)</t>
  </si>
  <si>
    <t>C347222</t>
  </si>
  <si>
    <t>ASMD1812-350-16V</t>
  </si>
  <si>
    <t>U6, U7</t>
  </si>
  <si>
    <t>F1812</t>
  </si>
  <si>
    <t>JDTfuse(集电通)</t>
  </si>
  <si>
    <t>C2982285</t>
  </si>
  <si>
    <t>Project Title</t>
  </si>
  <si>
    <t>Borard Title</t>
  </si>
  <si>
    <t>Board1</t>
  </si>
  <si>
    <t>Schematic Title</t>
  </si>
  <si>
    <t>主板原理图</t>
  </si>
  <si>
    <t>PCB Title</t>
  </si>
  <si>
    <t>Variant Name</t>
  </si>
  <si>
    <t>Total Quantity</t>
  </si>
  <si>
    <t>Report Time</t>
  </si>
  <si>
    <t>14:31:50</t>
  </si>
  <si>
    <t>Report Date</t>
  </si>
  <si>
    <t>2026年10月7日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</si>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</sst>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1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1</v>
      </c>
      <c r="C8" s="9" t="s">
        <v>28</v>
      </c>
      <c r="D8" s="9" t="s">
        <v>29</v>
      </c>
      <c r="E8" s="9" t="s">
        <v>30</v>
      </c>
      <c r="F8" s="9" t="s">
        <v>28</v>
      </c>
      <c r="G8" s="9" t="s">
        <v>31</v>
      </c>
      <c r="H8" s="9" t="s">
        <v>32</v>
      </c>
      <c r="I8" s="9" t="s">
        <v>33</v>
      </c>
      <c r="J8" s="9" t="s">
        <v>27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2</v>
      </c>
      <c r="C9" s="9" t="s">
        <v>34</v>
      </c>
      <c r="D9" s="9" t="s">
        <v>35</v>
      </c>
      <c r="E9" s="9" t="s">
        <v>36</v>
      </c>
      <c r="F9" s="9" t="s">
        <v>34</v>
      </c>
      <c r="G9" s="9" t="s">
        <v>37</v>
      </c>
      <c r="H9" s="9" t="s">
        <v>38</v>
      </c>
      <c r="I9" s="9" t="s">
        <v>39</v>
      </c>
      <c r="J9" s="9" t="s">
        <v>27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6</v>
      </c>
      <c r="C10" s="9" t="s">
        <v>40</v>
      </c>
      <c r="D10" s="9" t="s">
        <v>41</v>
      </c>
      <c r="E10" s="9" t="s">
        <v>30</v>
      </c>
      <c r="F10" s="9" t="s">
        <v>40</v>
      </c>
      <c r="G10" s="9" t="s">
        <v>42</v>
      </c>
      <c r="H10" s="9" t="s">
        <v>43</v>
      </c>
      <c r="I10" s="9" t="s">
        <v>44</v>
      </c>
      <c r="J10" s="9" t="s">
        <v>27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5</v>
      </c>
      <c r="C11" s="9" t="s">
        <v>45</v>
      </c>
      <c r="D11" s="9" t="s">
        <v>46</v>
      </c>
      <c r="E11" s="9" t="s">
        <v>47</v>
      </c>
      <c r="F11" s="9" t="s">
        <v>0</v>
      </c>
      <c r="G11" s="9" t="s">
        <v>45</v>
      </c>
      <c r="H11" s="9" t="s">
        <v>48</v>
      </c>
      <c r="I11" s="9" t="s">
        <v>49</v>
      </c>
      <c r="J11" s="9" t="s">
        <v>27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1</v>
      </c>
      <c r="C12" s="9" t="s">
        <v>50</v>
      </c>
      <c r="D12" s="9" t="s">
        <v>51</v>
      </c>
      <c r="E12" s="9" t="s">
        <v>52</v>
      </c>
      <c r="F12" s="9" t="s">
        <v>0</v>
      </c>
      <c r="G12" s="9" t="s">
        <v>50</v>
      </c>
      <c r="H12" s="9" t="s">
        <v>53</v>
      </c>
      <c r="I12" s="9" t="s">
        <v>54</v>
      </c>
      <c r="J12" s="9" t="s">
        <v>27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55</v>
      </c>
      <c r="D13" s="9" t="s">
        <v>56</v>
      </c>
      <c r="E13" s="9" t="s">
        <v>57</v>
      </c>
      <c r="F13" s="9" t="s">
        <v>0</v>
      </c>
      <c r="G13" s="9" t="s">
        <v>55</v>
      </c>
      <c r="H13" s="9" t="s">
        <v>58</v>
      </c>
      <c r="I13" s="9" t="s">
        <v>59</v>
      </c>
      <c r="J13" s="9" t="s">
        <v>27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2</v>
      </c>
      <c r="C14" s="9" t="s">
        <v>60</v>
      </c>
      <c r="D14" s="9" t="s">
        <v>61</v>
      </c>
      <c r="E14" s="9" t="s">
        <v>62</v>
      </c>
      <c r="F14" s="9" t="s">
        <v>0</v>
      </c>
      <c r="G14" s="9" t="s">
        <v>60</v>
      </c>
      <c r="H14" s="9" t="s">
        <v>63</v>
      </c>
      <c r="I14" s="9" t="s">
        <v>64</v>
      </c>
      <c r="J14" s="9" t="s">
        <v>27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65</v>
      </c>
      <c r="D15" s="9" t="s">
        <v>66</v>
      </c>
      <c r="E15" s="9" t="s">
        <v>67</v>
      </c>
      <c r="F15" s="9" t="s">
        <v>0</v>
      </c>
      <c r="G15" s="9" t="s">
        <v>65</v>
      </c>
      <c r="H15" s="9" t="s">
        <v>68</v>
      </c>
      <c r="I15" s="9" t="s">
        <v>69</v>
      </c>
      <c r="J15" s="9" t="s">
        <v>27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8</v>
      </c>
      <c r="C16" s="9" t="s">
        <v>70</v>
      </c>
      <c r="D16" s="9" t="s">
        <v>71</v>
      </c>
      <c r="E16" s="9" t="s">
        <v>72</v>
      </c>
      <c r="F16" s="9" t="s">
        <v>0</v>
      </c>
      <c r="G16" s="9" t="s">
        <v>70</v>
      </c>
      <c r="H16" s="9" t="s">
        <v>68</v>
      </c>
      <c r="I16" s="9" t="s">
        <v>73</v>
      </c>
      <c r="J16" s="9" t="s">
        <v>27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2</v>
      </c>
      <c r="C17" s="9" t="s">
        <v>74</v>
      </c>
      <c r="D17" s="9" t="s">
        <v>75</v>
      </c>
      <c r="E17" s="9" t="s">
        <v>76</v>
      </c>
      <c r="F17" s="9" t="s">
        <v>0</v>
      </c>
      <c r="G17" s="9" t="s">
        <v>74</v>
      </c>
      <c r="H17" s="9" t="s">
        <v>77</v>
      </c>
      <c r="I17" s="9" t="s">
        <v>78</v>
      </c>
      <c r="J17" s="9" t="s">
        <v>27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1</v>
      </c>
      <c r="C18" s="9" t="s">
        <v>79</v>
      </c>
      <c r="D18" s="9" t="s">
        <v>80</v>
      </c>
      <c r="E18" s="9" t="s">
        <v>81</v>
      </c>
      <c r="F18" s="9" t="s">
        <v>0</v>
      </c>
      <c r="G18" s="9" t="s">
        <v>79</v>
      </c>
      <c r="H18" s="9" t="s">
        <v>82</v>
      </c>
      <c r="I18" s="9" t="s">
        <v>83</v>
      </c>
      <c r="J18" s="9" t="s">
        <v>27</v>
      </c>
      <c r="K18" s="9" t="s">
        <v>0</v>
      </c>
      <c r="L18" s="10">
        <f>B18*K18</f>
      </c>
    </row>
    <row r="19" spans="1:12" x14ac:dyDescent="0.25">
      <c r="A19" s="8">
        <f>ROW()-6</f>
      </c>
      <c r="B19" s="9">
        <v>2</v>
      </c>
      <c r="C19" s="9" t="s">
        <v>84</v>
      </c>
      <c r="D19" s="9" t="s">
        <v>85</v>
      </c>
      <c r="E19" s="9" t="s">
        <v>86</v>
      </c>
      <c r="F19" s="9" t="s">
        <v>84</v>
      </c>
      <c r="G19" s="9" t="s">
        <v>87</v>
      </c>
      <c r="H19" s="9" t="s">
        <v>88</v>
      </c>
      <c r="I19" s="9" t="s">
        <v>89</v>
      </c>
      <c r="J19" s="9" t="s">
        <v>27</v>
      </c>
      <c r="K19" s="9" t="s">
        <v>0</v>
      </c>
      <c r="L19" s="10">
        <f>B19*K19</f>
      </c>
    </row>
    <row r="20" spans="1:12" x14ac:dyDescent="0.25">
      <c r="A20" s="8">
        <f>ROW()-6</f>
      </c>
      <c r="B20" s="9">
        <v>1</v>
      </c>
      <c r="C20" s="9" t="s">
        <v>90</v>
      </c>
      <c r="D20" s="9" t="s">
        <v>91</v>
      </c>
      <c r="E20" s="9" t="s">
        <v>86</v>
      </c>
      <c r="F20" s="9" t="s">
        <v>90</v>
      </c>
      <c r="G20" s="9" t="s">
        <v>92</v>
      </c>
      <c r="H20" s="9" t="s">
        <v>43</v>
      </c>
      <c r="I20" s="9" t="s">
        <v>93</v>
      </c>
      <c r="J20" s="9" t="s">
        <v>27</v>
      </c>
      <c r="K20" s="9" t="s">
        <v>0</v>
      </c>
      <c r="L20" s="10">
        <f>B20*K20</f>
      </c>
    </row>
    <row r="21" spans="1:12" x14ac:dyDescent="0.25">
      <c r="A21" s="8">
        <f>ROW()-6</f>
      </c>
      <c r="B21" s="9">
        <v>3</v>
      </c>
      <c r="C21" s="9" t="s">
        <v>94</v>
      </c>
      <c r="D21" s="9" t="s">
        <v>95</v>
      </c>
      <c r="E21" s="9" t="s">
        <v>86</v>
      </c>
      <c r="F21" s="9" t="s">
        <v>94</v>
      </c>
      <c r="G21" s="9" t="s">
        <v>96</v>
      </c>
      <c r="H21" s="9" t="s">
        <v>43</v>
      </c>
      <c r="I21" s="9" t="s">
        <v>97</v>
      </c>
      <c r="J21" s="9" t="s">
        <v>27</v>
      </c>
      <c r="K21" s="9" t="s">
        <v>0</v>
      </c>
      <c r="L21" s="10">
        <f>B21*K21</f>
      </c>
    </row>
    <row r="22" spans="1:12" x14ac:dyDescent="0.25">
      <c r="A22" s="8">
        <f>ROW()-6</f>
      </c>
      <c r="B22" s="9">
        <v>5</v>
      </c>
      <c r="C22" s="9" t="s">
        <v>98</v>
      </c>
      <c r="D22" s="9" t="s">
        <v>99</v>
      </c>
      <c r="E22" s="9" t="s">
        <v>98</v>
      </c>
      <c r="F22" s="9" t="s">
        <v>0</v>
      </c>
      <c r="G22" s="9" t="s">
        <v>0</v>
      </c>
      <c r="H22" s="9" t="s">
        <v>0</v>
      </c>
      <c r="I22" s="9" t="s">
        <v>0</v>
      </c>
      <c r="J22" s="9" t="s">
        <v>0</v>
      </c>
      <c r="K22" s="9" t="s">
        <v>0</v>
      </c>
      <c r="L22" s="10">
        <f>B22*K22</f>
      </c>
    </row>
    <row r="23" spans="1:12" x14ac:dyDescent="0.25">
      <c r="A23" s="8">
        <f>ROW()-6</f>
      </c>
      <c r="B23" s="9">
        <v>2</v>
      </c>
      <c r="C23" s="9" t="s">
        <v>100</v>
      </c>
      <c r="D23" s="9" t="s">
        <v>101</v>
      </c>
      <c r="E23" s="9" t="s">
        <v>102</v>
      </c>
      <c r="F23" s="9" t="s">
        <v>0</v>
      </c>
      <c r="G23" s="9" t="s">
        <v>100</v>
      </c>
      <c r="H23" s="9" t="s">
        <v>103</v>
      </c>
      <c r="I23" s="9" t="s">
        <v>104</v>
      </c>
      <c r="J23" s="9" t="s">
        <v>27</v>
      </c>
      <c r="K23" s="9" t="s">
        <v>0</v>
      </c>
      <c r="L23" s="10">
        <f>B23*K23</f>
      </c>
    </row>
    <row r="24" spans="1:12" x14ac:dyDescent="0.25">
      <c r="A24" s="8">
        <f>ROW()-6</f>
      </c>
      <c r="B24" s="9">
        <v>2</v>
      </c>
      <c r="C24" s="9" t="s">
        <v>105</v>
      </c>
      <c r="D24" s="9" t="s">
        <v>106</v>
      </c>
      <c r="E24" s="9" t="s">
        <v>107</v>
      </c>
      <c r="F24" s="9" t="s">
        <v>0</v>
      </c>
      <c r="G24" s="9" t="s">
        <v>105</v>
      </c>
      <c r="H24" s="9" t="s">
        <v>108</v>
      </c>
      <c r="I24" s="9" t="s">
        <v>109</v>
      </c>
      <c r="J24" s="9" t="s">
        <v>27</v>
      </c>
      <c r="K24" s="9" t="s">
        <v>0</v>
      </c>
      <c r="L24" s="10">
        <f>B24*K24</f>
      </c>
    </row>
    <row r="25" spans="1:12" x14ac:dyDescent="0.25">
      <c r="A25" s="8">
        <f>ROW()-6</f>
      </c>
      <c r="B25" s="9">
        <v>1</v>
      </c>
      <c r="C25" s="9" t="s">
        <v>110</v>
      </c>
      <c r="D25" s="9" t="s">
        <v>111</v>
      </c>
      <c r="E25" s="9" t="s">
        <v>112</v>
      </c>
      <c r="F25" s="9" t="s">
        <v>0</v>
      </c>
      <c r="G25" s="9" t="s">
        <v>110</v>
      </c>
      <c r="H25" s="9" t="s">
        <v>113</v>
      </c>
      <c r="I25" s="9" t="s">
        <v>114</v>
      </c>
      <c r="J25" s="9" t="s">
        <v>27</v>
      </c>
      <c r="K25" s="9" t="s">
        <v>0</v>
      </c>
      <c r="L25" s="10">
        <f>B25*K25</f>
      </c>
    </row>
    <row r="26" spans="1:12" x14ac:dyDescent="0.25">
      <c r="A26" s="8">
        <f>ROW()-6</f>
      </c>
      <c r="B26" s="9">
        <v>2</v>
      </c>
      <c r="C26" s="9" t="s">
        <v>115</v>
      </c>
      <c r="D26" s="9" t="s">
        <v>116</v>
      </c>
      <c r="E26" s="9" t="s">
        <v>117</v>
      </c>
      <c r="F26" s="9" t="s">
        <v>0</v>
      </c>
      <c r="G26" s="9" t="s">
        <v>115</v>
      </c>
      <c r="H26" s="9" t="s">
        <v>118</v>
      </c>
      <c r="I26" s="9" t="s">
        <v>119</v>
      </c>
      <c r="J26" s="9" t="s">
        <v>27</v>
      </c>
      <c r="K26" s="9" t="s">
        <v>0</v>
      </c>
      <c r="L26" s="10">
        <f>B26*K26</f>
      </c>
    </row>
    <row r="27" spans="1:12" x14ac:dyDescent="0.25">
      <c r="A27" s="8">
        <f>ROW()-6</f>
      </c>
      <c r="B27" s="11">
        <f>SUM(L7:L26)</f>
      </c>
      <c r="C27" s="11"/>
      <c r="D27" s="11"/>
      <c r="E27" s="11"/>
      <c r="F27" s="11"/>
      <c r="G27" s="11"/>
      <c r="H27" s="11"/>
      <c r="I27" s="11"/>
      <c r="J27" s="11"/>
      <c r="K27" s="11"/>
      <c r="L27" s="11"/>
    </row>
  </sheetData>
  <mergeCells count="4">
    <mergeCell ref="A1:D5"/>
    <mergeCell ref="E1:E2"/>
    <mergeCell ref="F1:F2"/>
    <mergeCell ref="B27:L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120</v>
      </c>
      <c r="B1" s="6" t="s">
        <v>4</v>
      </c>
    </row>
    <row r="2" spans="1:2" x14ac:dyDescent="0.25">
      <c r="A2" s="6" t="s">
        <v>121</v>
      </c>
      <c r="B2" s="6" t="s">
        <v>122</v>
      </c>
    </row>
    <row r="3" spans="1:2" x14ac:dyDescent="0.25">
      <c r="A3" s="6" t="s">
        <v>123</v>
      </c>
      <c r="B3" s="6" t="s">
        <v>124</v>
      </c>
    </row>
    <row r="4" spans="1:2" x14ac:dyDescent="0.25">
      <c r="A4" s="6" t="s">
        <v>125</v>
      </c>
      <c r="B4" s="6" t="s">
        <v>6</v>
      </c>
    </row>
    <row r="5" spans="1:2" x14ac:dyDescent="0.25">
      <c r="A5" s="6" t="s">
        <v>126</v>
      </c>
      <c r="B5" s="6" t="s">
        <v>6</v>
      </c>
    </row>
    <row r="6" spans="1:2" x14ac:dyDescent="0.25">
      <c r="A6" s="6" t="s">
        <v>127</v>
      </c>
      <c r="B6" s="6">
        <v>49</v>
      </c>
    </row>
    <row r="7" spans="1:2" x14ac:dyDescent="0.25">
      <c r="A7" s="6" t="s">
        <v>128</v>
      </c>
      <c r="B7" s="6" t="s">
        <v>129</v>
      </c>
    </row>
    <row r="8" spans="1:2" x14ac:dyDescent="0.25">
      <c r="A8" s="6" t="s">
        <v>130</v>
      </c>
      <c r="B8" s="6" t="s">
        <v>131</v>
      </c>
    </row>
    <row r="9" spans="1:2" x14ac:dyDescent="0.25">
      <c r="A9" s="6" t="s">
        <v>132</v>
      </c>
      <c r="B9" s="6" t="s">
        <v>8</v>
      </c>
    </row>
    <row r="10" spans="1:2" x14ac:dyDescent="0.25">
      <c r="A10" s="6" t="s">
        <v>133</v>
      </c>
      <c r="B10" s="6" t="s">
        <v>2</v>
      </c>
    </row>
    <row r="11" spans="1:2" x14ac:dyDescent="0.25">
      <c r="A11" s="6" t="s">
        <v>134</v>
      </c>
      <c r="B11" s="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2026-10-07T06:31:50Z</dcterms:modified>
</cp:coreProperties>
</file>